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C:\Users\ebari\Desktop\460A\"/>
    </mc:Choice>
  </mc:AlternateContent>
  <xr:revisionPtr revIDLastSave="0" documentId="8_{B056D185-41E7-49E8-83C7-8D7937956E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-Stab Layo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J14" i="1"/>
  <c r="F13" i="1"/>
  <c r="F12" i="1"/>
  <c r="J8" i="1" s="1"/>
  <c r="J9" i="1"/>
  <c r="F8" i="1"/>
  <c r="F11" i="1" s="1"/>
  <c r="J7" i="1" s="1"/>
  <c r="F7" i="1"/>
  <c r="B20" i="1" s="1"/>
  <c r="J6" i="1"/>
  <c r="F6" i="1"/>
  <c r="J10" i="1" s="1"/>
  <c r="B21" i="1" l="1"/>
  <c r="F14" i="1"/>
  <c r="D21" i="1"/>
  <c r="B22" i="1"/>
  <c r="D22" i="1"/>
  <c r="B23" i="1"/>
  <c r="D23" i="1" s="1"/>
  <c r="D19" i="1"/>
  <c r="F9" i="1"/>
  <c r="D20" i="1"/>
  <c r="F10" i="1" l="1"/>
  <c r="C21" i="1" s="1"/>
  <c r="C22" i="1"/>
  <c r="G22" i="1" s="1"/>
  <c r="J11" i="1"/>
  <c r="F15" i="1"/>
  <c r="G21" i="1" l="1"/>
  <c r="F21" i="1"/>
  <c r="E21" i="1"/>
  <c r="C23" i="1"/>
  <c r="C19" i="1"/>
  <c r="C20" i="1"/>
  <c r="F22" i="1"/>
  <c r="E22" i="1"/>
  <c r="G19" i="1" l="1"/>
  <c r="F19" i="1"/>
  <c r="E19" i="1"/>
  <c r="F20" i="1"/>
  <c r="E20" i="1"/>
  <c r="G20" i="1"/>
  <c r="G23" i="1"/>
  <c r="F23" i="1"/>
  <c r="E23" i="1"/>
</calcChain>
</file>

<file path=xl/sharedStrings.xml><?xml version="1.0" encoding="utf-8"?>
<sst xmlns="http://schemas.openxmlformats.org/spreadsheetml/2006/main" count="58" uniqueCount="53">
  <si>
    <t>Horizontal Stabilizer Configuration – Layout Tool (Tail-Referenced)</t>
  </si>
  <si>
    <t>Global Inputs (yellow cells editable) — dimensions measured from Tail Station 0 (TS0)</t>
  </si>
  <si>
    <t>Parameter</t>
  </si>
  <si>
    <t>Units</t>
  </si>
  <si>
    <t>Value</t>
  </si>
  <si>
    <t>Derived Geometry (H-Stab)</t>
  </si>
  <si>
    <t>Summary (H-Stab)</t>
  </si>
  <si>
    <t>Stab Area S_H</t>
  </si>
  <si>
    <t>ft^2</t>
  </si>
  <si>
    <t>Aspect Ratio AR_H</t>
  </si>
  <si>
    <t>S_H (ft^2)</t>
  </si>
  <si>
    <t>Stab Span b_H</t>
  </si>
  <si>
    <t>ft</t>
  </si>
  <si>
    <t>Semi-span (in)</t>
  </si>
  <si>
    <t>MAC_H (in)</t>
  </si>
  <si>
    <t>Taper Ratio λ_H</t>
  </si>
  <si>
    <t>-</t>
  </si>
  <si>
    <t>Root chord c_r,H (ft)</t>
  </si>
  <si>
    <t>ȳ_c,H (in)</t>
  </si>
  <si>
    <t>LE Sweep Λ_LE,H</t>
  </si>
  <si>
    <t>deg</t>
  </si>
  <si>
    <t>Root chord c_r,H (in)</t>
  </si>
  <si>
    <t>b_H (ft)</t>
  </si>
  <si>
    <t>Root LE X intercept (XLE_root,H)</t>
  </si>
  <si>
    <t>in</t>
  </si>
  <si>
    <t>Tip chord c_t,H (in)</t>
  </si>
  <si>
    <t>AR_H</t>
  </si>
  <si>
    <t>Tail Arm l_H (wing 1/4c to H-stab 1/4c)</t>
  </si>
  <si>
    <t>LEMAC_H X (in)</t>
  </si>
  <si>
    <t>Wing Area S (for V_H check)</t>
  </si>
  <si>
    <t>Wing MAC (for V_H check)</t>
  </si>
  <si>
    <t>m_LE,H = tan(Λ_LE,H)</t>
  </si>
  <si>
    <t>Tail Volume Check</t>
  </si>
  <si>
    <t>LEMAC_H X (in) = XLE_H(ȳ_c,H)</t>
  </si>
  <si>
    <t>V_H = (S_H * l_H) / (S_wing * MAC_wing_ft)</t>
  </si>
  <si>
    <t>TEMAC_H X (in)</t>
  </si>
  <si>
    <t>Spanwise Geometry (Centerline → Tip, H-Stab)</t>
  </si>
  <si>
    <t>Station</t>
  </si>
  <si>
    <t>y (in)</t>
  </si>
  <si>
    <t>Chord c_H(y) (in)</t>
  </si>
  <si>
    <t>XLE_H(y) (in)</t>
  </si>
  <si>
    <t>Xc/4_H (in)</t>
  </si>
  <si>
    <t>Xc/2_H (in)</t>
  </si>
  <si>
    <t>XTE_H(y) (in)</t>
  </si>
  <si>
    <t>0% b_H/2</t>
  </si>
  <si>
    <t>25% b_H/2</t>
  </si>
  <si>
    <t>50% b_H/2</t>
  </si>
  <si>
    <t>75% b_H/2</t>
  </si>
  <si>
    <t>100% b_H/2</t>
  </si>
  <si>
    <t>Notes:</t>
  </si>
  <si>
    <t>• Trapezoidal H-stab geometry with linear chord variation (per Roskam).</t>
  </si>
  <si>
    <t>• LEMAC_H measured from Tail Station 0 (TS0). Adjust XLE_root,H to reposition tail.</t>
  </si>
  <si>
    <t>• Use V_H to confirm TM-5 target; adjust S_H or l_H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</si>
</sst>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2" zoomScale="90" zoomScaleNormal="90" workbookViewId="0">
      <selection activeCell="H25" sqref="H25"/>
    </sheetView>
  </sheetViews>
  <sheetFormatPr defaultRowHeight="15"/>
  <cols>
    <col min="1" max="11" width="24" customWidth="1"/>
  </cols>
  <sheetData>
    <row r="1" spans="1:10" ht="18.75">
      <c r="A1" s="1" t="s">
        <v>0</v>
      </c>
    </row>
    <row r="3" spans="1:10">
      <c r="A3" s="2" t="s">
        <v>1</v>
      </c>
    </row>
    <row r="5" spans="1:10">
      <c r="A5" s="3" t="s">
        <v>2</v>
      </c>
      <c r="B5" s="3" t="s">
        <v>3</v>
      </c>
      <c r="C5" s="3" t="s">
        <v>4</v>
      </c>
      <c r="E5" s="2" t="s">
        <v>5</v>
      </c>
      <c r="I5" s="2" t="s">
        <v>6</v>
      </c>
    </row>
    <row r="6" spans="1:10">
      <c r="A6" s="4" t="s">
        <v>7</v>
      </c>
      <c r="B6" s="4" t="s">
        <v>8</v>
      </c>
      <c r="C6" s="5">
        <v>75.81</v>
      </c>
      <c r="E6" s="6" t="s">
        <v>9</v>
      </c>
      <c r="F6" s="4">
        <f>(C7)^2/(C6)</f>
        <v>4.0397045244690677</v>
      </c>
      <c r="I6" s="4" t="s">
        <v>10</v>
      </c>
      <c r="J6" s="4">
        <f>C6</f>
        <v>75.81</v>
      </c>
    </row>
    <row r="7" spans="1:10">
      <c r="A7" s="4" t="s">
        <v>11</v>
      </c>
      <c r="B7" s="4" t="s">
        <v>12</v>
      </c>
      <c r="C7" s="5">
        <v>17.5</v>
      </c>
      <c r="E7" s="4" t="s">
        <v>13</v>
      </c>
      <c r="F7" s="4">
        <f>(C7)*12/2</f>
        <v>105</v>
      </c>
      <c r="I7" s="4" t="s">
        <v>14</v>
      </c>
      <c r="J7" s="4">
        <f>F11</f>
        <v>55.166693877551019</v>
      </c>
    </row>
    <row r="8" spans="1:10">
      <c r="A8" s="4" t="s">
        <v>15</v>
      </c>
      <c r="B8" s="4" t="s">
        <v>16</v>
      </c>
      <c r="C8" s="5">
        <v>0.4</v>
      </c>
      <c r="E8" s="4" t="s">
        <v>17</v>
      </c>
      <c r="F8" s="4">
        <f>2*C6/(C7*(1+C8))</f>
        <v>6.1885714285714286</v>
      </c>
      <c r="I8" s="4" t="s">
        <v>18</v>
      </c>
      <c r="J8" s="4">
        <f>F12</f>
        <v>45</v>
      </c>
    </row>
    <row r="9" spans="1:10">
      <c r="A9" s="4" t="s">
        <v>19</v>
      </c>
      <c r="B9" s="4" t="s">
        <v>20</v>
      </c>
      <c r="C9" s="5">
        <v>29</v>
      </c>
      <c r="E9" s="4" t="s">
        <v>21</v>
      </c>
      <c r="F9" s="4">
        <f>12*F8</f>
        <v>74.262857142857143</v>
      </c>
      <c r="I9" s="4" t="s">
        <v>22</v>
      </c>
      <c r="J9" s="4">
        <f>C7</f>
        <v>17.5</v>
      </c>
    </row>
    <row r="10" spans="1:10">
      <c r="A10" s="4" t="s">
        <v>23</v>
      </c>
      <c r="B10" s="4" t="s">
        <v>24</v>
      </c>
      <c r="C10" s="5">
        <v>18.702999999999999</v>
      </c>
      <c r="E10" s="4" t="s">
        <v>25</v>
      </c>
      <c r="F10" s="4">
        <f>C8*F9</f>
        <v>29.70514285714286</v>
      </c>
      <c r="I10" s="4" t="s">
        <v>26</v>
      </c>
      <c r="J10" s="4">
        <f>F6</f>
        <v>4.0397045244690677</v>
      </c>
    </row>
    <row r="11" spans="1:10">
      <c r="A11" s="4" t="s">
        <v>27</v>
      </c>
      <c r="B11" s="4" t="s">
        <v>12</v>
      </c>
      <c r="C11" s="5">
        <v>18.079999999999998</v>
      </c>
      <c r="E11" s="4" t="s">
        <v>14</v>
      </c>
      <c r="F11" s="4">
        <f>12*(2/3*F8*((1+C8+C8^2)/(1+C8)))</f>
        <v>55.166693877551019</v>
      </c>
      <c r="I11" s="4" t="s">
        <v>28</v>
      </c>
      <c r="J11" s="4">
        <f>F14</f>
        <v>43.646907315374605</v>
      </c>
    </row>
    <row r="12" spans="1:10">
      <c r="A12" s="4" t="s">
        <v>29</v>
      </c>
      <c r="B12" s="4" t="s">
        <v>8</v>
      </c>
      <c r="C12" s="5">
        <v>377.81</v>
      </c>
      <c r="E12" s="4" t="s">
        <v>18</v>
      </c>
      <c r="F12" s="4">
        <f>12*((C7)/6*((1+2*C8)/(1+C8)))</f>
        <v>45</v>
      </c>
    </row>
    <row r="13" spans="1:10">
      <c r="A13" s="4" t="s">
        <v>30</v>
      </c>
      <c r="B13" s="4" t="s">
        <v>24</v>
      </c>
      <c r="C13" s="5">
        <v>80</v>
      </c>
      <c r="E13" s="4" t="s">
        <v>31</v>
      </c>
      <c r="F13" s="4">
        <f>TAN(RADIANS(C9))</f>
        <v>0.55430905145276899</v>
      </c>
      <c r="I13" s="2" t="s">
        <v>32</v>
      </c>
    </row>
    <row r="14" spans="1:10">
      <c r="E14" s="4" t="s">
        <v>33</v>
      </c>
      <c r="F14" s="4">
        <f>C10+F13*F12</f>
        <v>43.646907315374605</v>
      </c>
      <c r="I14" s="4" t="s">
        <v>34</v>
      </c>
      <c r="J14" s="4">
        <f>(C6*C11)/(C12*(C13/12))</f>
        <v>0.54418019639501325</v>
      </c>
    </row>
    <row r="15" spans="1:10">
      <c r="E15" s="4" t="s">
        <v>35</v>
      </c>
      <c r="F15" s="4">
        <f>F14+F11</f>
        <v>98.813601192925631</v>
      </c>
    </row>
    <row r="17" spans="1:7">
      <c r="A17" s="2" t="s">
        <v>36</v>
      </c>
    </row>
    <row r="18" spans="1:7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  <c r="F18" s="3" t="s">
        <v>42</v>
      </c>
      <c r="G18" s="3" t="s">
        <v>43</v>
      </c>
    </row>
    <row r="19" spans="1:7">
      <c r="A19" s="4" t="s">
        <v>44</v>
      </c>
      <c r="B19" s="4">
        <f>F7*0</f>
        <v>0</v>
      </c>
      <c r="C19" s="4">
        <f>F9 - (F9-F10)*(B19/F7)</f>
        <v>74.262857142857143</v>
      </c>
      <c r="D19" s="4">
        <f>C10+F13*B19</f>
        <v>18.702999999999999</v>
      </c>
      <c r="E19" s="4">
        <f>D19+0.25*C19</f>
        <v>37.268714285714282</v>
      </c>
      <c r="F19" s="4">
        <f>D19+0.5*C19</f>
        <v>55.834428571428575</v>
      </c>
      <c r="G19" s="4">
        <f>D19+C19</f>
        <v>92.965857142857146</v>
      </c>
    </row>
    <row r="20" spans="1:7">
      <c r="A20" s="4" t="s">
        <v>45</v>
      </c>
      <c r="B20" s="4">
        <f>F7*0.25</f>
        <v>26.25</v>
      </c>
      <c r="C20" s="4">
        <f>F9 - (F9-F10)*(B20/F7)</f>
        <v>63.123428571428576</v>
      </c>
      <c r="D20" s="4">
        <f>C10+F13*B20</f>
        <v>33.253612600635186</v>
      </c>
      <c r="E20" s="4">
        <f>D20+0.25*C20</f>
        <v>49.03446974349233</v>
      </c>
      <c r="F20" s="4">
        <f>D20+0.5*C20</f>
        <v>64.815326886349482</v>
      </c>
      <c r="G20" s="4">
        <f>D20+C20</f>
        <v>96.37704117206377</v>
      </c>
    </row>
    <row r="21" spans="1:7">
      <c r="A21" s="4" t="s">
        <v>46</v>
      </c>
      <c r="B21" s="4">
        <f>F7*0.5</f>
        <v>52.5</v>
      </c>
      <c r="C21" s="4">
        <f>F9 - (F9-F10)*(B21/F7)</f>
        <v>51.984000000000002</v>
      </c>
      <c r="D21" s="4">
        <f>C10+F13*B21</f>
        <v>47.80422520127037</v>
      </c>
      <c r="E21" s="4">
        <f>D21+0.25*C21</f>
        <v>60.800225201270372</v>
      </c>
      <c r="F21" s="4">
        <f>D21+0.5*C21</f>
        <v>73.796225201270374</v>
      </c>
      <c r="G21" s="4">
        <f>D21+C21</f>
        <v>99.788225201270365</v>
      </c>
    </row>
    <row r="22" spans="1:7">
      <c r="A22" s="4" t="s">
        <v>47</v>
      </c>
      <c r="B22" s="4">
        <f>F7*0.75</f>
        <v>78.75</v>
      </c>
      <c r="C22" s="4">
        <f>F9 - (F9-F10)*(B22/F7)</f>
        <v>40.844571428571427</v>
      </c>
      <c r="D22" s="4">
        <f>C10+F13*B22</f>
        <v>62.35483780190556</v>
      </c>
      <c r="E22" s="4">
        <f>D22+0.25*C22</f>
        <v>72.565980659048421</v>
      </c>
      <c r="F22" s="4">
        <f>D22+0.5*C22</f>
        <v>82.777123516191267</v>
      </c>
      <c r="G22" s="4">
        <f>D22+C22</f>
        <v>103.19940923047699</v>
      </c>
    </row>
    <row r="23" spans="1:7">
      <c r="A23" s="4" t="s">
        <v>48</v>
      </c>
      <c r="B23" s="4">
        <f>F7*1</f>
        <v>105</v>
      </c>
      <c r="C23" s="4">
        <f>F9 - (F9-F10)*(B23/F7)</f>
        <v>29.70514285714286</v>
      </c>
      <c r="D23" s="4">
        <f>C10+F13*B23</f>
        <v>76.905450402540737</v>
      </c>
      <c r="E23" s="4">
        <f>D23+0.25*C23</f>
        <v>84.331736116826448</v>
      </c>
      <c r="F23" s="4">
        <f>D23+0.5*C23</f>
        <v>91.75802183111216</v>
      </c>
      <c r="G23" s="4">
        <f>D23+C23</f>
        <v>106.6105932596836</v>
      </c>
    </row>
    <row r="25" spans="1:7">
      <c r="A25" s="2" t="s">
        <v>49</v>
      </c>
    </row>
    <row r="26" spans="1:7">
      <c r="A26" t="s">
        <v>50</v>
      </c>
    </row>
    <row r="27" spans="1:7">
      <c r="A27" t="s">
        <v>51</v>
      </c>
    </row>
    <row r="28" spans="1:7">
      <c r="A28" t="s">
        <v>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ECE0AD7A93D548B77B8EFCD49D3E9B" ma:contentTypeVersion="6" ma:contentTypeDescription="Create a new document." ma:contentTypeScope="" ma:versionID="ccf20a155b5665ff8068ea459ae46fb9">
  <xsd:schema xmlns:xsd="http://www.w3.org/2001/XMLSchema" xmlns:xs="http://www.w3.org/2001/XMLSchema" xmlns:p="http://schemas.microsoft.com/office/2006/metadata/properties" xmlns:ns3="37fcf0dc-8a41-4dbe-963c-20b7941749bb" targetNamespace="http://schemas.microsoft.com/office/2006/metadata/properties" ma:root="true" ma:fieldsID="d1c3df308e8aa2f6f331edcba0e43477" ns3:_="">
    <xsd:import namespace="37fcf0dc-8a41-4dbe-963c-20b7941749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cf0dc-8a41-4dbe-963c-20b7941749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fcf0dc-8a41-4dbe-963c-20b7941749bb" xsi:nil="true"/>
  </documentManagement>
</p:properties>
</file>

<file path=customXml/itemProps1.xml><?xml version="1.0" encoding="utf-8"?>
<ds:datastoreItem xmlns:ds="http://schemas.openxmlformats.org/officeDocument/2006/customXml" ds:itemID="{0CB1BBFC-C339-44FD-8376-E4DDEA321172}"/>
</file>

<file path=customXml/itemProps2.xml><?xml version="1.0" encoding="utf-8"?>
<ds:datastoreItem xmlns:ds="http://schemas.openxmlformats.org/officeDocument/2006/customXml" ds:itemID="{949B2465-B32D-4FD7-AD6B-F13245FB0490}"/>
</file>

<file path=customXml/itemProps3.xml><?xml version="1.0" encoding="utf-8"?>
<ds:datastoreItem xmlns:ds="http://schemas.openxmlformats.org/officeDocument/2006/customXml" ds:itemID="{5AA3917E-C05D-439A-8F36-672D992BE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Bryce Sullins</cp:lastModifiedBy>
  <cp:revision/>
  <dcterms:created xsi:type="dcterms:W3CDTF">2025-10-29T23:20:20Z</dcterms:created>
  <dcterms:modified xsi:type="dcterms:W3CDTF">2025-10-30T01:53:50Z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0x010100C3ECE0AD7A93D548B77B8EFCD49D3E9B</vt:lpwstr>
  </property>
</Properties>
</file>